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 activeTab="3"/>
  </bookViews>
  <sheets>
    <sheet name="Sales" sheetId="1" r:id="rId1"/>
    <sheet name="CityMaster" sheetId="2" r:id="rId2"/>
    <sheet name="Settings" sheetId="3" r:id="rId3"/>
    <sheet name="Analysis" sheetId="4" r:id="rId4"/>
  </sheets>
  <externalReferences>
    <externalReference r:id="rId5"/>
  </externalReferences>
  <definedNames>
    <definedName name="_xlnm._FilterDatabase" localSheetId="0" hidden="1">Sales!$A$1:$G$9</definedName>
  </definedNames>
  <calcPr calcId="124519"/>
</workbook>
</file>

<file path=xl/calcChain.xml><?xml version="1.0" encoding="utf-8"?>
<calcChain xmlns="http://schemas.openxmlformats.org/spreadsheetml/2006/main">
  <c r="P2" i="1"/>
  <c r="P3"/>
  <c r="P4"/>
  <c r="P5"/>
  <c r="P6"/>
  <c r="P7"/>
  <c r="P8"/>
  <c r="P9"/>
  <c r="B13" i="4"/>
  <c r="B14"/>
  <c r="B12"/>
  <c r="B6"/>
  <c r="B3"/>
  <c r="O2" i="1"/>
  <c r="O3"/>
  <c r="O4"/>
  <c r="O5"/>
  <c r="O6"/>
  <c r="O7"/>
  <c r="O8"/>
  <c r="O9"/>
  <c r="B9" i="4"/>
  <c r="B5"/>
  <c r="B4"/>
  <c r="N3" i="1"/>
  <c r="N4"/>
  <c r="N5"/>
  <c r="N6"/>
  <c r="N7"/>
  <c r="N8"/>
  <c r="N9"/>
  <c r="N2"/>
  <c r="M3"/>
  <c r="M4"/>
  <c r="M5"/>
  <c r="M6"/>
  <c r="M7"/>
  <c r="M8"/>
  <c r="M9"/>
  <c r="M2"/>
  <c r="L3"/>
  <c r="L4"/>
  <c r="L5"/>
  <c r="L6"/>
  <c r="L7"/>
  <c r="L8"/>
  <c r="L9"/>
  <c r="L2"/>
  <c r="H4"/>
  <c r="H5"/>
  <c r="H6"/>
  <c r="H7"/>
  <c r="H8"/>
  <c r="H9"/>
  <c r="H3"/>
  <c r="J2"/>
  <c r="J3"/>
  <c r="I4"/>
  <c r="J4"/>
  <c r="I5"/>
  <c r="J5"/>
  <c r="J6"/>
  <c r="J7"/>
  <c r="G8"/>
  <c r="K8" s="1"/>
  <c r="G6"/>
  <c r="K6" s="1"/>
  <c r="G2"/>
  <c r="K2" s="1"/>
  <c r="G9"/>
  <c r="K9" s="1"/>
  <c r="G5"/>
  <c r="K5" s="1"/>
  <c r="G4"/>
  <c r="K4" s="1"/>
  <c r="G7"/>
  <c r="K7" s="1"/>
  <c r="G3"/>
  <c r="C12" i="4" s="1"/>
  <c r="H2" l="1"/>
  <c r="E9"/>
  <c r="G2"/>
  <c r="C13"/>
  <c r="C15" s="1"/>
  <c r="E10"/>
  <c r="E2"/>
  <c r="C14"/>
  <c r="E11"/>
  <c r="E3"/>
  <c r="E12"/>
  <c r="E4"/>
  <c r="E5"/>
  <c r="E13"/>
  <c r="B15"/>
  <c r="E14"/>
  <c r="E6"/>
  <c r="B10"/>
  <c r="E15"/>
  <c r="E7"/>
  <c r="E16"/>
  <c r="E8"/>
  <c r="B2"/>
  <c r="K3" i="1"/>
  <c r="B8" i="4"/>
  <c r="B7"/>
  <c r="I2" i="1"/>
  <c r="I6"/>
  <c r="I3"/>
  <c r="I7"/>
</calcChain>
</file>

<file path=xl/sharedStrings.xml><?xml version="1.0" encoding="utf-8"?>
<sst xmlns="http://schemas.openxmlformats.org/spreadsheetml/2006/main" count="78" uniqueCount="52">
  <si>
    <t>order_id</t>
  </si>
  <si>
    <t>date</t>
  </si>
  <si>
    <t>city</t>
  </si>
  <si>
    <t>category</t>
  </si>
  <si>
    <t>units</t>
  </si>
  <si>
    <t>unit_price</t>
  </si>
  <si>
    <t>revenue</t>
  </si>
  <si>
    <t>Pune</t>
  </si>
  <si>
    <t>Stationery</t>
  </si>
  <si>
    <t>Mumbai</t>
  </si>
  <si>
    <t>Electronics</t>
  </si>
  <si>
    <t>Nashik</t>
  </si>
  <si>
    <t>Grocery</t>
  </si>
  <si>
    <t>Result</t>
  </si>
  <si>
    <t>Total Revenue</t>
  </si>
  <si>
    <t>Number of Orders</t>
  </si>
  <si>
    <t>Lowest Revenue</t>
  </si>
  <si>
    <t>Highest Revenue</t>
  </si>
  <si>
    <t>Grocery Orders</t>
  </si>
  <si>
    <t>region</t>
  </si>
  <si>
    <t>West</t>
  </si>
  <si>
    <t>Bengaluru</t>
  </si>
  <si>
    <t>South</t>
  </si>
  <si>
    <t>Delhi</t>
  </si>
  <si>
    <t>North</t>
  </si>
  <si>
    <t>value_band</t>
  </si>
  <si>
    <t>city_clean</t>
  </si>
  <si>
    <t>year</t>
  </si>
  <si>
    <t>month</t>
  </si>
  <si>
    <t>setting</t>
  </si>
  <si>
    <t>value</t>
  </si>
  <si>
    <t>High_Revenue_Threshold</t>
  </si>
  <si>
    <t>Currency</t>
  </si>
  <si>
    <t>INR</t>
  </si>
  <si>
    <t>Report_Month</t>
  </si>
  <si>
    <t>KPI</t>
  </si>
  <si>
    <t>manager</t>
  </si>
  <si>
    <t>Asha</t>
  </si>
  <si>
    <t>Rahul</t>
  </si>
  <si>
    <t>meera</t>
  </si>
  <si>
    <t>Nashik Manager</t>
  </si>
  <si>
    <t>Result2</t>
  </si>
  <si>
    <t>Average Units</t>
  </si>
  <si>
    <t>Pune Orders</t>
  </si>
  <si>
    <t>Mumbai Electronics Revenue</t>
  </si>
  <si>
    <t>Category</t>
  </si>
  <si>
    <t>Orders</t>
  </si>
  <si>
    <t>Column1</t>
  </si>
  <si>
    <t>Grand Total</t>
  </si>
  <si>
    <t>days_since_order</t>
  </si>
  <si>
    <t>SUBTOTAL Revenue</t>
  </si>
  <si>
    <t>SUM Revenue</t>
  </si>
</sst>
</file>

<file path=xl/styles.xml><?xml version="1.0" encoding="utf-8"?>
<styleSheet xmlns="http://schemas.openxmlformats.org/spreadsheetml/2006/main">
  <numFmts count="1">
    <numFmt numFmtId="44" formatCode="_ &quot;₹&quot;\ * #,##0.00_ ;_ &quot;₹&quot;\ * \-#,##0.00_ ;_ &quot;₹&quot;\ * &quot;-&quot;??_ ;_ 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44" fontId="0" fillId="0" borderId="0" xfId="0" applyNumberFormat="1"/>
    <xf numFmtId="14" fontId="1" fillId="0" borderId="0" xfId="0" applyNumberFormat="1" applyFont="1"/>
    <xf numFmtId="0" fontId="0" fillId="0" borderId="0" xfId="0" applyNumberFormat="1"/>
    <xf numFmtId="17" fontId="0" fillId="0" borderId="0" xfId="0" applyNumberFormat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11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yMaster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ityMaster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SalesTable" displayName="SalesTable" ref="A1:P9" totalsRowShown="0" headerRowDxfId="10">
  <autoFilter ref="A1:P9"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</autoFilter>
  <tableColumns count="16">
    <tableColumn id="1" name="order_id"/>
    <tableColumn id="2" name="date" dataDxfId="9"/>
    <tableColumn id="3" name="city"/>
    <tableColumn id="4" name="category"/>
    <tableColumn id="5" name="units"/>
    <tableColumn id="6" name="unit_price" dataDxfId="8"/>
    <tableColumn id="7" name="revenue" dataDxfId="7">
      <calculatedColumnFormula>E2*F2</calculatedColumnFormula>
    </tableColumn>
    <tableColumn id="8" name="region" dataDxfId="6">
      <calculatedColumnFormula>VLOOKUP(C2,[1]CityMaster!$A$2:$B$6,2,FALSE)</calculatedColumnFormula>
    </tableColumn>
    <tableColumn id="9" name="Result"/>
    <tableColumn id="10" name="Result2"/>
    <tableColumn id="11" name="value_band">
      <calculatedColumnFormula>IF(G2&gt;=1000,"High","Low")</calculatedColumnFormula>
    </tableColumn>
    <tableColumn id="12" name="city_clean">
      <calculatedColumnFormula>TRIM(C2)</calculatedColumnFormula>
    </tableColumn>
    <tableColumn id="13" name="year">
      <calculatedColumnFormula>YEAR(B2)</calculatedColumnFormula>
    </tableColumn>
    <tableColumn id="14" name="month">
      <calculatedColumnFormula>MONTH(B2)</calculatedColumnFormula>
    </tableColumn>
    <tableColumn id="15" name="manager" dataDxfId="5">
      <calculatedColumnFormula>VLOOKUP(C2,CityMaster!$A$2:$C$6,3,FALSE)</calculatedColumnFormula>
    </tableColumn>
    <tableColumn id="16" name="days_since_order" dataDxfId="4">
      <calculatedColumnFormula>DATEDIF(B2,TODAY(),"d")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6" totalsRowShown="0" headerRowDxfId="3">
  <autoFilter ref="A1:C6"/>
  <tableColumns count="3">
    <tableColumn id="1" name="city"/>
    <tableColumn id="2" name="region"/>
    <tableColumn id="3" name="manager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B4" totalsRowShown="0" headerRowDxfId="2">
  <autoFilter ref="A1:B4"/>
  <tableColumns count="2">
    <tableColumn id="1" name="setting"/>
    <tableColumn id="2" name="valu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E16" totalsRowShown="0" headerRowDxfId="1">
  <autoFilter ref="A1:E16">
    <filterColumn colId="2"/>
    <filterColumn colId="3"/>
    <filterColumn colId="4"/>
  </autoFilter>
  <tableColumns count="5">
    <tableColumn id="1" name="KPI"/>
    <tableColumn id="2" name="Result"/>
    <tableColumn id="3" name="Column1"/>
    <tableColumn id="4" name="month"/>
    <tableColumn id="5" name="revenue" dataDxfId="0">
      <calculatedColumnFormula>SUMIF(SalesTable[month],D2,SalesTable[revenue])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>
      <selection activeCell="G17" sqref="G17"/>
    </sheetView>
  </sheetViews>
  <sheetFormatPr defaultRowHeight="14.5"/>
  <cols>
    <col min="1" max="1" width="10" customWidth="1"/>
    <col min="2" max="2" width="13.1796875" style="1" customWidth="1"/>
    <col min="4" max="4" width="10" customWidth="1"/>
    <col min="6" max="6" width="11.26953125" customWidth="1"/>
    <col min="7" max="7" width="10.1796875" bestFit="1" customWidth="1"/>
    <col min="9" max="10" width="12" hidden="1" customWidth="1"/>
    <col min="11" max="11" width="12.54296875" customWidth="1"/>
    <col min="12" max="12" width="11.08984375" customWidth="1"/>
    <col min="16" max="16" width="18.54296875" customWidth="1"/>
  </cols>
  <sheetData>
    <row r="1" spans="1:16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19</v>
      </c>
      <c r="I1" s="2" t="s">
        <v>13</v>
      </c>
      <c r="J1" s="2" t="s">
        <v>41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36</v>
      </c>
      <c r="P1" s="2" t="s">
        <v>49</v>
      </c>
    </row>
    <row r="2" spans="1:16">
      <c r="A2">
        <v>1004</v>
      </c>
      <c r="B2" s="1">
        <v>46267</v>
      </c>
      <c r="C2" t="s">
        <v>11</v>
      </c>
      <c r="D2" t="s">
        <v>12</v>
      </c>
      <c r="E2">
        <v>12</v>
      </c>
      <c r="F2" s="3">
        <v>80</v>
      </c>
      <c r="G2" s="3">
        <f t="shared" ref="G2:G9" si="0">E2*F2</f>
        <v>960</v>
      </c>
      <c r="H2" s="5" t="s">
        <v>20</v>
      </c>
      <c r="I2" s="3">
        <f>SUM(H2:H9)</f>
        <v>0</v>
      </c>
      <c r="J2" s="3" t="e">
        <f>SUM(#REF!)</f>
        <v>#REF!</v>
      </c>
      <c r="K2" t="str">
        <f>IF(G2&gt;=1000,"High","Low")</f>
        <v>Low</v>
      </c>
      <c r="L2" t="str">
        <f>TRIM(C2)</f>
        <v>Nashik</v>
      </c>
      <c r="M2">
        <f>YEAR(B2)</f>
        <v>2026</v>
      </c>
      <c r="N2">
        <f>MONTH(B2)</f>
        <v>9</v>
      </c>
      <c r="O2" s="5" t="str">
        <f>VLOOKUP(C2,CityMaster!$A$2:$C$6,3,FALSE)</f>
        <v>meera</v>
      </c>
      <c r="P2" s="5">
        <f t="shared" ref="P2:P9" ca="1" si="1">DATEDIF(B2,TODAY(),"d")</f>
        <v>55</v>
      </c>
    </row>
    <row r="3" spans="1:16">
      <c r="A3">
        <v>1001</v>
      </c>
      <c r="B3" s="1">
        <v>46266</v>
      </c>
      <c r="C3" t="s">
        <v>7</v>
      </c>
      <c r="D3" t="s">
        <v>8</v>
      </c>
      <c r="E3">
        <v>10</v>
      </c>
      <c r="F3" s="3">
        <v>25</v>
      </c>
      <c r="G3" s="3">
        <f t="shared" si="0"/>
        <v>250</v>
      </c>
      <c r="H3" s="5" t="str">
        <f>VLOOKUP(C2,CityMaster!$A$2:$B$6,2,FALSE)</f>
        <v>West</v>
      </c>
      <c r="I3" s="3" t="e">
        <f>AVERAGE(H2:H9)</f>
        <v>#DIV/0!</v>
      </c>
      <c r="J3" s="3" t="e">
        <f>AVERAGE(#REF!)</f>
        <v>#REF!</v>
      </c>
      <c r="K3" t="str">
        <f t="shared" ref="K3:K9" si="2">IF(G3&gt;=1000,"High","Low")</f>
        <v>Low</v>
      </c>
      <c r="L3" t="str">
        <f t="shared" ref="L3:L9" si="3">TRIM(C3)</f>
        <v>Pune</v>
      </c>
      <c r="M3">
        <f t="shared" ref="M3:M9" si="4">YEAR(B3)</f>
        <v>2026</v>
      </c>
      <c r="N3">
        <f t="shared" ref="N3:N9" si="5">MONTH(B3)</f>
        <v>9</v>
      </c>
      <c r="O3" s="5" t="str">
        <f>VLOOKUP(C3,CityMaster!$A$2:$C$6,3,FALSE)</f>
        <v>Asha</v>
      </c>
      <c r="P3" s="5">
        <f t="shared" ca="1" si="1"/>
        <v>56</v>
      </c>
    </row>
    <row r="4" spans="1:16">
      <c r="A4">
        <v>1007</v>
      </c>
      <c r="B4" s="1">
        <v>46269</v>
      </c>
      <c r="C4" t="s">
        <v>11</v>
      </c>
      <c r="D4" t="s">
        <v>8</v>
      </c>
      <c r="E4">
        <v>8</v>
      </c>
      <c r="F4" s="3">
        <v>15</v>
      </c>
      <c r="G4" s="3">
        <f t="shared" si="0"/>
        <v>120</v>
      </c>
      <c r="H4" s="5" t="str">
        <f>VLOOKUP(C3,CityMaster!$A$2:$B$6,2,FALSE)</f>
        <v>West</v>
      </c>
      <c r="I4">
        <f t="shared" ref="I4:J4" si="6">COUNT(B2:B9)</f>
        <v>8</v>
      </c>
      <c r="J4">
        <f t="shared" si="6"/>
        <v>0</v>
      </c>
      <c r="K4" t="str">
        <f t="shared" si="2"/>
        <v>Low</v>
      </c>
      <c r="L4" t="str">
        <f t="shared" si="3"/>
        <v>Nashik</v>
      </c>
      <c r="M4">
        <f t="shared" si="4"/>
        <v>2026</v>
      </c>
      <c r="N4">
        <f t="shared" si="5"/>
        <v>9</v>
      </c>
      <c r="O4" s="5" t="str">
        <f>VLOOKUP(C4,CityMaster!$A$2:$C$6,3,FALSE)</f>
        <v>meera</v>
      </c>
      <c r="P4" s="5">
        <f t="shared" ca="1" si="1"/>
        <v>53</v>
      </c>
    </row>
    <row r="5" spans="1:16">
      <c r="A5">
        <v>1006</v>
      </c>
      <c r="B5" s="1">
        <v>46268</v>
      </c>
      <c r="C5" t="s">
        <v>7</v>
      </c>
      <c r="D5" t="s">
        <v>12</v>
      </c>
      <c r="E5">
        <v>6</v>
      </c>
      <c r="F5" s="3">
        <v>55</v>
      </c>
      <c r="G5" s="3">
        <f t="shared" si="0"/>
        <v>330</v>
      </c>
      <c r="H5" s="5" t="str">
        <f>VLOOKUP(C4,CityMaster!$A$2:$B$6,2,FALSE)</f>
        <v>West</v>
      </c>
      <c r="I5">
        <f t="shared" ref="I5:J5" si="7">COUNTA(D2:D9)</f>
        <v>8</v>
      </c>
      <c r="J5">
        <f t="shared" si="7"/>
        <v>8</v>
      </c>
      <c r="K5" t="str">
        <f t="shared" si="2"/>
        <v>Low</v>
      </c>
      <c r="L5" t="str">
        <f t="shared" si="3"/>
        <v>Pune</v>
      </c>
      <c r="M5">
        <f t="shared" si="4"/>
        <v>2026</v>
      </c>
      <c r="N5">
        <f t="shared" si="5"/>
        <v>9</v>
      </c>
      <c r="O5" s="5" t="str">
        <f>VLOOKUP(C5,CityMaster!$A$2:$C$6,3,FALSE)</f>
        <v>Asha</v>
      </c>
      <c r="P5" s="5">
        <f t="shared" ca="1" si="1"/>
        <v>54</v>
      </c>
    </row>
    <row r="6" spans="1:16">
      <c r="A6">
        <v>1003</v>
      </c>
      <c r="B6" s="1">
        <v>46267</v>
      </c>
      <c r="C6" t="s">
        <v>7</v>
      </c>
      <c r="D6" t="s">
        <v>8</v>
      </c>
      <c r="E6">
        <v>4</v>
      </c>
      <c r="F6" s="3">
        <v>40</v>
      </c>
      <c r="G6" s="3">
        <f t="shared" si="0"/>
        <v>160</v>
      </c>
      <c r="H6" s="5" t="str">
        <f>VLOOKUP(C5,CityMaster!$A$2:$B$6,2,FALSE)</f>
        <v>West</v>
      </c>
      <c r="I6" s="3">
        <f>MIN(H2:H9)</f>
        <v>0</v>
      </c>
      <c r="J6" s="3" t="e">
        <f>MIN(#REF!)</f>
        <v>#REF!</v>
      </c>
      <c r="K6" t="str">
        <f t="shared" si="2"/>
        <v>Low</v>
      </c>
      <c r="L6" t="str">
        <f t="shared" si="3"/>
        <v>Pune</v>
      </c>
      <c r="M6">
        <f t="shared" si="4"/>
        <v>2026</v>
      </c>
      <c r="N6">
        <f t="shared" si="5"/>
        <v>9</v>
      </c>
      <c r="O6" s="5" t="str">
        <f>VLOOKUP(C6,CityMaster!$A$2:$C$6,3,FALSE)</f>
        <v>Asha</v>
      </c>
      <c r="P6" s="5">
        <f t="shared" ca="1" si="1"/>
        <v>55</v>
      </c>
    </row>
    <row r="7" spans="1:16">
      <c r="A7">
        <v>1008</v>
      </c>
      <c r="B7" s="1">
        <v>46269</v>
      </c>
      <c r="C7" t="s">
        <v>9</v>
      </c>
      <c r="D7" t="s">
        <v>12</v>
      </c>
      <c r="E7">
        <v>3</v>
      </c>
      <c r="F7" s="3">
        <v>90</v>
      </c>
      <c r="G7" s="3">
        <f t="shared" si="0"/>
        <v>270</v>
      </c>
      <c r="H7" s="5" t="str">
        <f>VLOOKUP(C6,CityMaster!$A$2:$B$6,2,FALSE)</f>
        <v>West</v>
      </c>
      <c r="I7" s="3">
        <f>MAX(H2:H9)</f>
        <v>0</v>
      </c>
      <c r="J7" s="3" t="e">
        <f>MAX(#REF!)</f>
        <v>#REF!</v>
      </c>
      <c r="K7" t="str">
        <f t="shared" si="2"/>
        <v>Low</v>
      </c>
      <c r="L7" t="str">
        <f t="shared" si="3"/>
        <v>Mumbai</v>
      </c>
      <c r="M7">
        <f t="shared" si="4"/>
        <v>2026</v>
      </c>
      <c r="N7">
        <f t="shared" si="5"/>
        <v>9</v>
      </c>
      <c r="O7" s="5" t="str">
        <f>VLOOKUP(C7,CityMaster!$A$2:$C$6,3,FALSE)</f>
        <v>Rahul</v>
      </c>
      <c r="P7" s="5">
        <f t="shared" ca="1" si="1"/>
        <v>53</v>
      </c>
    </row>
    <row r="8" spans="1:16">
      <c r="A8">
        <v>1002</v>
      </c>
      <c r="B8" s="1">
        <v>46266</v>
      </c>
      <c r="C8" t="s">
        <v>9</v>
      </c>
      <c r="D8" t="s">
        <v>10</v>
      </c>
      <c r="E8">
        <v>2</v>
      </c>
      <c r="F8" s="3">
        <v>1500</v>
      </c>
      <c r="G8" s="3">
        <f t="shared" si="0"/>
        <v>3000</v>
      </c>
      <c r="H8" s="5" t="str">
        <f>VLOOKUP(C7,CityMaster!$A$2:$B$6,2,FALSE)</f>
        <v>West</v>
      </c>
      <c r="K8" t="str">
        <f t="shared" si="2"/>
        <v>High</v>
      </c>
      <c r="L8" t="str">
        <f t="shared" si="3"/>
        <v>Mumbai</v>
      </c>
      <c r="M8">
        <f t="shared" si="4"/>
        <v>2026</v>
      </c>
      <c r="N8">
        <f t="shared" si="5"/>
        <v>9</v>
      </c>
      <c r="O8" s="5" t="str">
        <f>VLOOKUP(C8,CityMaster!$A$2:$C$6,3,FALSE)</f>
        <v>Rahul</v>
      </c>
      <c r="P8" s="5">
        <f t="shared" ca="1" si="1"/>
        <v>56</v>
      </c>
    </row>
    <row r="9" spans="1:16">
      <c r="A9">
        <v>1005</v>
      </c>
      <c r="B9" s="1">
        <v>46268</v>
      </c>
      <c r="C9" t="s">
        <v>9</v>
      </c>
      <c r="D9" t="s">
        <v>10</v>
      </c>
      <c r="E9">
        <v>1</v>
      </c>
      <c r="F9" s="3">
        <v>2200</v>
      </c>
      <c r="G9" s="3">
        <f t="shared" si="0"/>
        <v>2200</v>
      </c>
      <c r="H9" s="5" t="str">
        <f>VLOOKUP(C8,CityMaster!$A$2:$B$6,2,FALSE)</f>
        <v>West</v>
      </c>
      <c r="K9" t="str">
        <f t="shared" si="2"/>
        <v>High</v>
      </c>
      <c r="L9" t="str">
        <f t="shared" si="3"/>
        <v>Mumbai</v>
      </c>
      <c r="M9">
        <f t="shared" si="4"/>
        <v>2026</v>
      </c>
      <c r="N9">
        <f t="shared" si="5"/>
        <v>9</v>
      </c>
      <c r="O9" s="5" t="str">
        <f>VLOOKUP(C9,CityMaster!$A$2:$C$6,3,FALSE)</f>
        <v>Rahul</v>
      </c>
      <c r="P9" s="5">
        <f t="shared" ca="1" si="1"/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2" sqref="A2"/>
    </sheetView>
  </sheetViews>
  <sheetFormatPr defaultRowHeight="14.5"/>
  <cols>
    <col min="3" max="3" width="10.1796875" customWidth="1"/>
  </cols>
  <sheetData>
    <row r="1" spans="1:3">
      <c r="A1" s="2" t="s">
        <v>2</v>
      </c>
      <c r="B1" s="2" t="s">
        <v>19</v>
      </c>
      <c r="C1" s="2" t="s">
        <v>36</v>
      </c>
    </row>
    <row r="2" spans="1:3">
      <c r="A2" t="s">
        <v>7</v>
      </c>
      <c r="B2" t="s">
        <v>20</v>
      </c>
      <c r="C2" t="s">
        <v>37</v>
      </c>
    </row>
    <row r="3" spans="1:3">
      <c r="A3" t="s">
        <v>9</v>
      </c>
      <c r="B3" t="s">
        <v>20</v>
      </c>
      <c r="C3" t="s">
        <v>38</v>
      </c>
    </row>
    <row r="4" spans="1:3">
      <c r="A4" t="s">
        <v>11</v>
      </c>
      <c r="B4" t="s">
        <v>20</v>
      </c>
      <c r="C4" t="s">
        <v>39</v>
      </c>
    </row>
    <row r="5" spans="1:3">
      <c r="A5" t="s">
        <v>21</v>
      </c>
      <c r="B5" t="s">
        <v>22</v>
      </c>
    </row>
    <row r="6" spans="1:3">
      <c r="A6" t="s">
        <v>23</v>
      </c>
      <c r="B6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sqref="A1:B4"/>
    </sheetView>
  </sheetViews>
  <sheetFormatPr defaultRowHeight="14.5"/>
  <cols>
    <col min="1" max="1" width="14.1796875" customWidth="1"/>
    <col min="2" max="2" width="13.7265625" customWidth="1"/>
  </cols>
  <sheetData>
    <row r="1" spans="1:2">
      <c r="A1" s="2" t="s">
        <v>29</v>
      </c>
      <c r="B1" s="2" t="s">
        <v>30</v>
      </c>
    </row>
    <row r="2" spans="1:2">
      <c r="A2" t="s">
        <v>31</v>
      </c>
      <c r="B2">
        <v>1000</v>
      </c>
    </row>
    <row r="3" spans="1:2">
      <c r="A3" t="s">
        <v>32</v>
      </c>
      <c r="B3" t="s">
        <v>33</v>
      </c>
    </row>
    <row r="4" spans="1:2">
      <c r="A4" t="s">
        <v>34</v>
      </c>
      <c r="B4" s="6">
        <v>46266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selection activeCell="H2" sqref="H2"/>
    </sheetView>
  </sheetViews>
  <sheetFormatPr defaultRowHeight="14.5"/>
  <cols>
    <col min="1" max="1" width="26.1796875" customWidth="1"/>
    <col min="2" max="2" width="14.6328125" customWidth="1"/>
    <col min="3" max="4" width="15.08984375" customWidth="1"/>
    <col min="7" max="7" width="17.26953125" bestFit="1" customWidth="1"/>
    <col min="8" max="8" width="12.36328125" bestFit="1" customWidth="1"/>
  </cols>
  <sheetData>
    <row r="1" spans="1:8">
      <c r="A1" s="2" t="s">
        <v>35</v>
      </c>
      <c r="B1" s="2" t="s">
        <v>13</v>
      </c>
      <c r="C1" s="2" t="s">
        <v>47</v>
      </c>
      <c r="D1" s="2" t="s">
        <v>28</v>
      </c>
      <c r="E1" s="2" t="s">
        <v>6</v>
      </c>
      <c r="G1" t="s">
        <v>50</v>
      </c>
      <c r="H1" t="s">
        <v>51</v>
      </c>
    </row>
    <row r="2" spans="1:8">
      <c r="A2" t="s">
        <v>14</v>
      </c>
      <c r="B2" s="3">
        <f>SUM(Sales!G2:G9)</f>
        <v>7290</v>
      </c>
      <c r="D2">
        <v>9</v>
      </c>
      <c r="E2" s="5">
        <f>SUMIF(SalesTable[month],D2,SalesTable[revenue])</f>
        <v>7290</v>
      </c>
      <c r="G2">
        <f>SUBTOTAL(9,SalesTable[revenue])</f>
        <v>7290</v>
      </c>
      <c r="H2">
        <f>SUM(SalesTable[revenue])</f>
        <v>7290</v>
      </c>
    </row>
    <row r="3" spans="1:8">
      <c r="A3" t="s">
        <v>42</v>
      </c>
      <c r="B3" s="3">
        <f>AVERAGE(SalesTable[units])</f>
        <v>5.75</v>
      </c>
      <c r="D3">
        <v>9</v>
      </c>
      <c r="E3" s="5">
        <f>SUMIF(SalesTable[month],D3,SalesTable[revenue])</f>
        <v>7290</v>
      </c>
    </row>
    <row r="4" spans="1:8">
      <c r="A4" t="s">
        <v>15</v>
      </c>
      <c r="B4">
        <f>COUNTA(Sales!A2:A9)</f>
        <v>8</v>
      </c>
      <c r="D4">
        <v>9</v>
      </c>
      <c r="E4" s="5">
        <f>SUMIF(SalesTable[month],D4,SalesTable[revenue])</f>
        <v>7290</v>
      </c>
    </row>
    <row r="5" spans="1:8">
      <c r="A5" t="s">
        <v>18</v>
      </c>
      <c r="B5">
        <f>COUNTIF(Sales!D2:D9,"Grocery")</f>
        <v>3</v>
      </c>
      <c r="D5">
        <v>9</v>
      </c>
      <c r="E5" s="5">
        <f>SUMIF(SalesTable[month],D5,SalesTable[revenue])</f>
        <v>7290</v>
      </c>
    </row>
    <row r="6" spans="1:8">
      <c r="A6" t="s">
        <v>43</v>
      </c>
      <c r="B6">
        <f>COUNTIF(SalesTable[city],"Pune")</f>
        <v>3</v>
      </c>
      <c r="D6">
        <v>9</v>
      </c>
      <c r="E6" s="5">
        <f>SUMIF(SalesTable[month],D6,SalesTable[revenue])</f>
        <v>7290</v>
      </c>
    </row>
    <row r="7" spans="1:8">
      <c r="A7" t="s">
        <v>17</v>
      </c>
      <c r="B7" s="3">
        <f>MAX(Sales!G2:G9)</f>
        <v>3000</v>
      </c>
      <c r="D7">
        <v>9</v>
      </c>
      <c r="E7" s="5">
        <f>SUMIF(SalesTable[month],D7,SalesTable[revenue])</f>
        <v>7290</v>
      </c>
    </row>
    <row r="8" spans="1:8">
      <c r="A8" t="s">
        <v>16</v>
      </c>
      <c r="B8" s="3">
        <f>MIN(Sales!G2:G9)</f>
        <v>120</v>
      </c>
      <c r="D8">
        <v>9</v>
      </c>
      <c r="E8" s="5">
        <f>SUMIF(SalesTable[month],D8,SalesTable[revenue])</f>
        <v>7290</v>
      </c>
    </row>
    <row r="9" spans="1:8">
      <c r="A9" t="s">
        <v>40</v>
      </c>
      <c r="B9" t="str">
        <f>VLOOKUP("Nashik",CityMaster!A2:C6,3,FALSE)</f>
        <v>meera</v>
      </c>
      <c r="D9">
        <v>9</v>
      </c>
      <c r="E9" s="5">
        <f>SUMIF(SalesTable[month],D9,SalesTable[revenue])</f>
        <v>7290</v>
      </c>
    </row>
    <row r="10" spans="1:8">
      <c r="A10" s="7" t="s">
        <v>44</v>
      </c>
      <c r="B10" s="7">
        <f>SUMIFS(SalesTable[revenue],SalesTable[city],"Mumbai",SalesTable[category],"Electronics")</f>
        <v>5200</v>
      </c>
      <c r="D10">
        <v>9</v>
      </c>
      <c r="E10" s="5">
        <f>SUMIF(SalesTable[month],D10,SalesTable[revenue])</f>
        <v>7290</v>
      </c>
    </row>
    <row r="11" spans="1:8">
      <c r="A11" s="8" t="s">
        <v>45</v>
      </c>
      <c r="B11" s="8" t="s">
        <v>46</v>
      </c>
      <c r="C11" s="2" t="s">
        <v>14</v>
      </c>
      <c r="D11">
        <v>9</v>
      </c>
      <c r="E11" s="5">
        <f>SUMIF(SalesTable[month],D11,SalesTable[revenue])</f>
        <v>7290</v>
      </c>
    </row>
    <row r="12" spans="1:8">
      <c r="A12" t="s">
        <v>8</v>
      </c>
      <c r="B12">
        <f>COUNTIF(SalesTable[category],A12)</f>
        <v>3</v>
      </c>
      <c r="C12">
        <f>SUMIF(SalesTable[category],A12,SalesTable[revenue])</f>
        <v>530</v>
      </c>
      <c r="D12">
        <v>9</v>
      </c>
      <c r="E12" s="5">
        <f>SUMIF(SalesTable[month],D12,SalesTable[revenue])</f>
        <v>7290</v>
      </c>
    </row>
    <row r="13" spans="1:8">
      <c r="A13" t="s">
        <v>10</v>
      </c>
      <c r="B13">
        <f>COUNTIF(SalesTable[category],A13)</f>
        <v>2</v>
      </c>
      <c r="C13">
        <f>SUMIF(SalesTable[category],A13,SalesTable[revenue])</f>
        <v>5200</v>
      </c>
      <c r="D13">
        <v>9</v>
      </c>
      <c r="E13" s="5">
        <f>SUMIF(SalesTable[month],D13,SalesTable[revenue])</f>
        <v>7290</v>
      </c>
    </row>
    <row r="14" spans="1:8">
      <c r="A14" t="s">
        <v>12</v>
      </c>
      <c r="B14">
        <f>COUNTIF(SalesTable[category],A14)</f>
        <v>3</v>
      </c>
      <c r="C14">
        <f>SUMIF(SalesTable[category],A14,SalesTable[revenue])</f>
        <v>1560</v>
      </c>
      <c r="D14">
        <v>9</v>
      </c>
      <c r="E14" s="5">
        <f>SUMIF(SalesTable[month],D14,SalesTable[revenue])</f>
        <v>7290</v>
      </c>
    </row>
    <row r="15" spans="1:8">
      <c r="A15" t="s">
        <v>48</v>
      </c>
      <c r="B15">
        <f>SUM(B12:B14)</f>
        <v>8</v>
      </c>
      <c r="C15">
        <f>SUM(C12:C14)</f>
        <v>7290</v>
      </c>
      <c r="D15">
        <v>9</v>
      </c>
      <c r="E15" s="5">
        <f>SUMIF(SalesTable[month],D15,SalesTable[revenue])</f>
        <v>7290</v>
      </c>
    </row>
    <row r="16" spans="1:8">
      <c r="A16" s="7"/>
      <c r="B16" s="7"/>
      <c r="C16" s="7"/>
      <c r="D16">
        <v>9</v>
      </c>
      <c r="E16" s="5">
        <f>SUMIF(SalesTable[month],D16,SalesTable[revenue])</f>
        <v>7290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CityMaster</vt:lpstr>
      <vt:lpstr>Settings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2026-10-27T11:28:55Z</dcterms:modified>
</cp:coreProperties>
</file>